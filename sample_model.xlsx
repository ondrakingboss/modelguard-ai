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Assumptions" sheetId="2" state="visible" r:id="rId2"/>
    <sheet name="Sensitiviti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Q1 2025</t>
        </is>
      </c>
      <c r="C1" s="1" t="inlineStr">
        <is>
          <t>Q2 2025</t>
        </is>
      </c>
      <c r="D1" s="1" t="inlineStr">
        <is>
          <t>Q3 2025</t>
        </is>
      </c>
      <c r="E1" s="1" t="inlineStr">
        <is>
          <t>Q4 2025</t>
        </is>
      </c>
      <c r="F1" s="1" t="inlineStr">
        <is>
          <t>Q1 2026</t>
        </is>
      </c>
      <c r="G1" s="1" t="inlineStr">
        <is>
          <t>Q2 2026</t>
        </is>
      </c>
      <c r="H1" s="1" t="inlineStr">
        <is>
          <t>Q3 2026</t>
        </is>
      </c>
      <c r="I1" s="1" t="inlineStr">
        <is>
          <t>Q4 2026</t>
        </is>
      </c>
    </row>
    <row r="2">
      <c r="A2" t="inlineStr">
        <is>
          <t>Product Revenue</t>
        </is>
      </c>
      <c r="B2" t="n">
        <v>250000</v>
      </c>
      <c r="C2" t="n">
        <v>280000</v>
      </c>
      <c r="D2" t="n">
        <v>310000</v>
      </c>
      <c r="E2" t="n">
        <v>350000</v>
      </c>
      <c r="F2" t="n">
        <v>390000</v>
      </c>
      <c r="G2" t="n">
        <v>450000</v>
      </c>
      <c r="H2" t="n">
        <v>520000</v>
      </c>
      <c r="I2" t="n">
        <v>610000</v>
      </c>
    </row>
    <row r="3">
      <c r="A3" t="inlineStr">
        <is>
          <t>Service Revenue</t>
        </is>
      </c>
      <c r="B3" t="n">
        <v>180000</v>
      </c>
      <c r="C3" t="n">
        <v>195000</v>
      </c>
      <c r="D3" t="n">
        <v>210000</v>
      </c>
      <c r="E3" t="n">
        <v>230000</v>
      </c>
      <c r="F3" t="n">
        <v>250000</v>
      </c>
      <c r="G3" t="n">
        <v>280000</v>
      </c>
      <c r="H3" t="n">
        <v>310000</v>
      </c>
      <c r="I3" t="n">
        <v>350000</v>
      </c>
    </row>
    <row r="4">
      <c r="A4" t="inlineStr">
        <is>
          <t>Total Revenue</t>
        </is>
      </c>
      <c r="B4">
        <f>B2+B3</f>
        <v/>
      </c>
      <c r="C4">
        <f>C2+C3</f>
        <v/>
      </c>
      <c r="D4">
        <f>D2+D3</f>
        <v/>
      </c>
      <c r="E4">
        <f>E2+E3</f>
        <v/>
      </c>
      <c r="F4">
        <f>F2+F3</f>
        <v/>
      </c>
      <c r="G4">
        <f>G2+G3</f>
        <v/>
      </c>
      <c r="H4">
        <f>H2+H3</f>
        <v/>
      </c>
      <c r="I4">
        <f>I2+I3</f>
        <v/>
      </c>
    </row>
    <row r="5">
      <c r="A5" t="inlineStr">
        <is>
          <t>COGS</t>
        </is>
      </c>
      <c r="B5" t="n">
        <v>130000</v>
      </c>
      <c r="C5" t="n">
        <v>140000</v>
      </c>
      <c r="D5" t="n">
        <v>155000</v>
      </c>
      <c r="E5" t="n">
        <v>175000</v>
      </c>
      <c r="F5" t="n">
        <v>195000</v>
      </c>
      <c r="G5" t="n">
        <v>220000</v>
      </c>
      <c r="H5" t="n">
        <v>260000</v>
      </c>
      <c r="I5" t="n">
        <v>305000</v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G4-G5</f>
        <v/>
      </c>
      <c r="H6">
        <f>H4-H5</f>
        <v/>
      </c>
      <c r="I6">
        <f>I4-I5</f>
        <v/>
      </c>
    </row>
    <row r="7">
      <c r="A7" t="inlineStr">
        <is>
          <t>Gross Margin %</t>
        </is>
      </c>
      <c r="B7">
        <f>B6/B4</f>
        <v/>
      </c>
      <c r="C7">
        <f>C6/C4</f>
        <v/>
      </c>
      <c r="D7">
        <f>D6/D4</f>
        <v/>
      </c>
      <c r="E7">
        <f>E6/E4</f>
        <v/>
      </c>
      <c r="F7">
        <f>F6/F4</f>
        <v/>
      </c>
      <c r="G7">
        <f>G6/G4</f>
        <v/>
      </c>
      <c r="H7">
        <f>H6/H4</f>
        <v/>
      </c>
      <c r="I7">
        <f>I6/I4</f>
        <v/>
      </c>
    </row>
    <row r="8">
      <c r="A8" t="inlineStr">
        <is>
          <t>OpEx - Marketing</t>
        </is>
      </c>
      <c r="B8">
        <f>B8</f>
        <v/>
      </c>
      <c r="C8">
        <f>C8</f>
        <v/>
      </c>
      <c r="D8">
        <f>D8</f>
        <v/>
      </c>
      <c r="E8">
        <f>E8</f>
        <v/>
      </c>
      <c r="F8">
        <f>F8</f>
        <v/>
      </c>
      <c r="G8" t="n">
        <v>70000</v>
      </c>
      <c r="H8">
        <f>H8</f>
        <v/>
      </c>
      <c r="I8">
        <f>I8</f>
        <v/>
      </c>
    </row>
    <row r="9">
      <c r="A9" t="inlineStr">
        <is>
          <t>OpEx - R&amp;D</t>
        </is>
      </c>
      <c r="B9" t="n">
        <v>30000</v>
      </c>
      <c r="C9" t="n">
        <v>32000</v>
      </c>
      <c r="D9" t="n">
        <v>35000</v>
      </c>
      <c r="E9" t="n">
        <v>38000</v>
      </c>
      <c r="F9" t="n">
        <v>42000</v>
      </c>
      <c r="G9" t="n">
        <v>48000</v>
      </c>
      <c r="H9" t="n">
        <v>55000</v>
      </c>
      <c r="I9" t="n">
        <v>65000</v>
      </c>
    </row>
    <row r="15" hidden="1">
      <c r="A15" t="inlineStr">
        <is>
          <t>INTERNAL</t>
        </is>
      </c>
    </row>
    <row r="17">
      <c r="A17" t="inlineStr">
        <is>
          <t>External</t>
        </is>
      </c>
      <c r="B17">
        <f>[Board_Plan_2025.xlsx]Sheet1!$A$1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cols>
    <col hidden="1" width="13" customWidth="1" min="6" max="6"/>
  </cols>
  <sheetData>
    <row r="2">
      <c r="A2" t="inlineStr">
        <is>
          <t>Growth Rate</t>
        </is>
      </c>
      <c r="B2" t="inlineStr">
        <is>
          <t>15%</t>
        </is>
      </c>
      <c r="C2" t="inlineStr">
        <is>
          <t>15%</t>
        </is>
      </c>
      <c r="D2" t="inlineStr">
        <is>
          <t>15%</t>
        </is>
      </c>
      <c r="E2" t="inlineStr">
        <is>
          <t>15%</t>
        </is>
      </c>
      <c r="F2" t="inlineStr">
        <is>
          <t>15%</t>
        </is>
      </c>
      <c r="G2" t="inlineStr">
        <is>
          <t>15%</t>
        </is>
      </c>
      <c r="H2" t="inlineStr">
        <is>
          <t>15%</t>
        </is>
      </c>
      <c r="I2" t="inlineStr">
        <is>
          <t>15%</t>
        </is>
      </c>
    </row>
    <row r="3">
      <c r="A3" t="inlineStr">
        <is>
          <t>Discount Rate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Tax Rate</t>
        </is>
      </c>
      <c r="B4" t="inlineStr">
        <is>
          <t>21%</t>
        </is>
      </c>
      <c r="C4" t="inlineStr">
        <is>
          <t>21%</t>
        </is>
      </c>
      <c r="D4" t="inlineStr">
        <is>
          <t>21%</t>
        </is>
      </c>
      <c r="E4" t="inlineStr">
        <is>
          <t>21%</t>
        </is>
      </c>
      <c r="F4" t="inlineStr">
        <is>
          <t>21%</t>
        </is>
      </c>
      <c r="G4" t="inlineStr">
        <is>
          <t>21%</t>
        </is>
      </c>
      <c r="H4" t="inlineStr">
        <is>
          <t>21%</t>
        </is>
      </c>
      <c r="I4" t="inlineStr">
        <is>
          <t>21%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sensitivity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2026-07-09T15:09:12Z</dcterms:created>
  <dcterms:modified xsi:type="dcterms:W3CDTF">2026-07-09T15:09:12Z</dcterms:modified>
</cp:coreProperties>
</file>